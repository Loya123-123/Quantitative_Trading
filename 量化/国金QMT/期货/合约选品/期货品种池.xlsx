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60"/>
  </bookViews>
  <sheets>
    <sheet name="Sheet1" sheetId="1" r:id="rId1"/>
  </sheets>
  <definedNames>
    <definedName name="_xlnm._FilterDatabase" localSheetId="0" hidden="1">Sheet1!$A$1:$P$8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<sst xmlns="http://schemas.openxmlformats.org/spreadsheetml/2006/main" count="51" uniqueCount="40">
  <si>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品类</t>
  </si>
  <si>
    <t>代码</t>
  </si>
  <si>
    <t>品种</t>
  </si>
  <si>
    <t>资金总额</t>
  </si>
  <si>
    <t>亏损比例</t>
  </si>
  <si>
    <t>亏损额度</t>
  </si>
  <si>
    <t>1手n吨</t>
  </si>
  <si>
    <t>平均atr</t>
  </si>
  <si>
    <t>1手亏1个atr</t>
  </si>
  <si>
    <t>最佳手数</t>
  </si>
  <si>
    <t>1手保证金</t>
  </si>
  <si>
    <t>n手（取整）</t>
  </si>
  <si>
    <t>n手保证金</t>
  </si>
  <si>
    <t>保证金比例</t>
  </si>
  <si>
    <t>交易所</t>
  </si>
  <si>
    <t>交易所代码</t>
  </si>
  <si>
    <t>有色金属</t>
  </si>
  <si>
    <t>ao</t>
  </si>
  <si>
    <t>氧化铝</t>
  </si>
  <si>
    <t>上海期货交易所</t>
  </si>
  <si>
    <t>SF</t>
  </si>
  <si>
    <t>农产品</t>
  </si>
  <si>
    <t>c</t>
  </si>
  <si>
    <t>玉米</t>
  </si>
  <si>
    <t>大连商品交易所</t>
  </si>
  <si>
    <t>DF</t>
  </si>
  <si>
    <t>CF</t>
  </si>
  <si>
    <t>棉花</t>
  </si>
  <si>
    <t>郑州商品交易所</t>
  </si>
  <si>
    <t>ZF</t>
  </si>
  <si>
    <t>能源化工</t>
  </si>
  <si>
    <t>FG</t>
  </si>
  <si>
    <t>玻璃</t>
  </si>
  <si>
    <t>fu</t>
  </si>
  <si>
    <t>燃油</t>
  </si>
  <si>
    <t>sp</t>
  </si>
  <si>
    <t>纸浆</t>
  </si>
  <si>
    <t>煤炭</t>
  </si>
  <si>
    <t>jm</t>
  </si>
  <si>
    <t>焦煤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</si>
</sst>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9" fontId="1" fillId="0" borderId="1" xfId="3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9" fontId="1" fillId="0" borderId="1" xfId="3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E12" sqref="E12"/>
    </sheetView>
  </sheetViews>
  <sheetFormatPr defaultColWidth="9.23076923076923" defaultRowHeight="16.8" outlineLevelRow="7"/>
  <cols>
    <col min="10" max="10" width="12.9230769230769"/>
    <col min="15" max="15" width="17.6153846153846" customWidth="1"/>
    <col min="16" max="16" width="15.8653846153846" customWidth="1"/>
  </cols>
  <sheetData>
    <row r="1" spans="1:1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 s="1" customFormat="1" spans="1:16">
      <c r="A2" s="7" t="s">
        <v>16</v>
      </c>
      <c r="B2" s="7" t="s">
        <v>17</v>
      </c>
      <c r="C2" s="7" t="s">
        <v>18</v>
      </c>
      <c r="D2" s="8">
        <v>200000</v>
      </c>
      <c r="E2" s="9">
        <v>0.05</v>
      </c>
      <c r="F2" s="8">
        <f>D2*E2</f>
        <v>10000</v>
      </c>
      <c r="G2" s="8">
        <v>20</v>
      </c>
      <c r="H2" s="10">
        <v>80</v>
      </c>
      <c r="I2" s="10">
        <f>G2*H2</f>
        <v>1600</v>
      </c>
      <c r="J2" s="10">
        <f>F2/I2</f>
        <v>6.25</v>
      </c>
      <c r="K2" s="10">
        <v>9312</v>
      </c>
      <c r="L2" s="10">
        <v>5</v>
      </c>
      <c r="M2" s="10">
        <f>L2*K2</f>
        <v>46560</v>
      </c>
      <c r="N2" s="11">
        <f>M2/D2</f>
        <v>0.2328</v>
      </c>
      <c r="O2" s="12" t="s">
        <v>19</v>
      </c>
      <c r="P2" s="12" t="s">
        <v>20</v>
      </c>
    </row>
    <row r="3" s="1" customFormat="1" spans="1:16">
      <c r="A3" s="7" t="s">
        <v>21</v>
      </c>
      <c r="B3" s="7" t="s">
        <v>22</v>
      </c>
      <c r="C3" s="7" t="s">
        <v>23</v>
      </c>
      <c r="D3" s="8">
        <v>200000</v>
      </c>
      <c r="E3" s="9">
        <v>0.05</v>
      </c>
      <c r="F3" s="8">
        <f>D3*E3</f>
        <v>10000</v>
      </c>
      <c r="G3" s="8">
        <v>10</v>
      </c>
      <c r="H3" s="10">
        <v>20</v>
      </c>
      <c r="I3" s="10">
        <f>G3*H3</f>
        <v>200</v>
      </c>
      <c r="J3" s="10">
        <f>F3/I3</f>
        <v>50</v>
      </c>
      <c r="K3" s="10">
        <v>2589</v>
      </c>
      <c r="L3" s="10">
        <v>15</v>
      </c>
      <c r="M3" s="10">
        <f>L3*K3</f>
        <v>38835</v>
      </c>
      <c r="N3" s="11">
        <f>M3/D3</f>
        <v>0.194175</v>
      </c>
      <c r="O3" s="12" t="s">
        <v>24</v>
      </c>
      <c r="P3" s="12" t="s">
        <v>25</v>
      </c>
    </row>
    <row r="4" s="2" customFormat="1" spans="1:16">
      <c r="A4" s="13" t="s">
        <v>21</v>
      </c>
      <c r="B4" s="13" t="s">
        <v>26</v>
      </c>
      <c r="C4" s="13" t="s">
        <v>27</v>
      </c>
      <c r="D4" s="14">
        <v>200000</v>
      </c>
      <c r="E4" s="15">
        <v>0.05</v>
      </c>
      <c r="F4" s="14">
        <f>D4*E4</f>
        <v>10000</v>
      </c>
      <c r="G4" s="14">
        <v>5</v>
      </c>
      <c r="H4" s="16">
        <v>200</v>
      </c>
      <c r="I4" s="16">
        <f>G4*H4</f>
        <v>1000</v>
      </c>
      <c r="J4" s="16">
        <f>F4/I4</f>
        <v>10</v>
      </c>
      <c r="K4" s="16">
        <v>8459</v>
      </c>
      <c r="L4" s="16">
        <v>5</v>
      </c>
      <c r="M4" s="16">
        <f>L4*K4</f>
        <v>42295</v>
      </c>
      <c r="N4" s="17">
        <f>M4/D4</f>
        <v>0.211475</v>
      </c>
      <c r="O4" s="18" t="s">
        <v>28</v>
      </c>
      <c r="P4" s="18" t="s">
        <v>29</v>
      </c>
    </row>
    <row r="5" s="1" customFormat="1" spans="1:16">
      <c r="A5" s="7" t="s">
        <v>30</v>
      </c>
      <c r="B5" s="7" t="s">
        <v>31</v>
      </c>
      <c r="C5" s="7" t="s">
        <v>32</v>
      </c>
      <c r="D5" s="8">
        <v>200000</v>
      </c>
      <c r="E5" s="9">
        <v>0.05</v>
      </c>
      <c r="F5" s="8">
        <f>D5*E5</f>
        <v>10000</v>
      </c>
      <c r="G5" s="8">
        <v>20</v>
      </c>
      <c r="H5" s="10">
        <v>35</v>
      </c>
      <c r="I5" s="10">
        <f>G5*H5</f>
        <v>700</v>
      </c>
      <c r="J5" s="10">
        <f>F5/I5</f>
        <v>14.2857142857143</v>
      </c>
      <c r="K5" s="10">
        <v>3162</v>
      </c>
      <c r="L5" s="10">
        <v>12</v>
      </c>
      <c r="M5" s="10">
        <f>L5*K5</f>
        <v>37944</v>
      </c>
      <c r="N5" s="11">
        <f>M5/D5</f>
        <v>0.18972</v>
      </c>
      <c r="O5" s="12" t="s">
        <v>28</v>
      </c>
      <c r="P5" s="12" t="s">
        <v>29</v>
      </c>
    </row>
    <row r="6" s="1" customFormat="1" spans="1:16">
      <c r="A6" s="7" t="s">
        <v>30</v>
      </c>
      <c r="B6" s="7" t="s">
        <v>33</v>
      </c>
      <c r="C6" s="7" t="s">
        <v>34</v>
      </c>
      <c r="D6" s="8">
        <v>200000</v>
      </c>
      <c r="E6" s="9">
        <v>0.05</v>
      </c>
      <c r="F6" s="8">
        <f>D6*E6</f>
        <v>10000</v>
      </c>
      <c r="G6" s="8">
        <v>10</v>
      </c>
      <c r="H6" s="10">
        <v>80</v>
      </c>
      <c r="I6" s="10">
        <f>G6*H6</f>
        <v>800</v>
      </c>
      <c r="J6" s="10">
        <f>F6/I6</f>
        <v>12.5</v>
      </c>
      <c r="K6" s="10">
        <v>4731</v>
      </c>
      <c r="L6" s="10">
        <v>8</v>
      </c>
      <c r="M6" s="10">
        <f>L6*K6</f>
        <v>37848</v>
      </c>
      <c r="N6" s="11">
        <f>M6/D6</f>
        <v>0.18924</v>
      </c>
      <c r="O6" s="12" t="s">
        <v>19</v>
      </c>
      <c r="P6" s="12" t="s">
        <v>20</v>
      </c>
    </row>
    <row r="7" s="1" customFormat="1" spans="1:16">
      <c r="A7" s="7" t="s">
        <v>30</v>
      </c>
      <c r="B7" s="7" t="s">
        <v>35</v>
      </c>
      <c r="C7" s="7" t="s">
        <v>36</v>
      </c>
      <c r="D7" s="8">
        <v>200000</v>
      </c>
      <c r="E7" s="9">
        <v>0.05</v>
      </c>
      <c r="F7" s="8">
        <f>D7*E7</f>
        <v>10000</v>
      </c>
      <c r="G7" s="8">
        <v>10</v>
      </c>
      <c r="H7" s="10">
        <v>90</v>
      </c>
      <c r="I7" s="10">
        <f>G7*H7</f>
        <v>900</v>
      </c>
      <c r="J7" s="10">
        <f>F7/I7</f>
        <v>11.1111111111111</v>
      </c>
      <c r="K7" s="10">
        <v>6830</v>
      </c>
      <c r="L7" s="10">
        <v>6</v>
      </c>
      <c r="M7" s="10">
        <f>L7*K7</f>
        <v>40980</v>
      </c>
      <c r="N7" s="11">
        <f>M7/D7</f>
        <v>0.2049</v>
      </c>
      <c r="O7" s="12" t="s">
        <v>19</v>
      </c>
      <c r="P7" s="12" t="s">
        <v>20</v>
      </c>
    </row>
    <row r="8" s="1" customFormat="1" spans="1:16">
      <c r="A8" s="7" t="s">
        <v>37</v>
      </c>
      <c r="B8" s="7" t="s">
        <v>38</v>
      </c>
      <c r="C8" s="7" t="s">
        <v>39</v>
      </c>
      <c r="D8" s="8">
        <v>200000</v>
      </c>
      <c r="E8" s="9">
        <v>0.05</v>
      </c>
      <c r="F8" s="8">
        <f>D8*E8</f>
        <v>10000</v>
      </c>
      <c r="G8" s="8">
        <v>60</v>
      </c>
      <c r="H8" s="10">
        <v>45</v>
      </c>
      <c r="I8" s="10">
        <f>G8*H8</f>
        <v>2700</v>
      </c>
      <c r="J8" s="10">
        <f>F8/I8</f>
        <v>3.7037037037037</v>
      </c>
      <c r="K8" s="10">
        <v>10430</v>
      </c>
      <c r="L8" s="10">
        <v>4</v>
      </c>
      <c r="M8" s="10">
        <f>L8*K8</f>
        <v>41720</v>
      </c>
      <c r="N8" s="11">
        <f>M8/D8</f>
        <v>0.2086</v>
      </c>
      <c r="O8" s="12" t="s">
        <v>24</v>
      </c>
      <c r="P8" s="12" t="s">
        <v>25</v>
      </c>
    </row>
  </sheetData>
  <autoFilter xmlns:etc="http://www.wps.cn/officeDocument/2017/etCustomData" ref="A1:P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shiyutian</dc:creator>
  <cp:lastModifiedBy>止于至善</cp:lastModifiedBy>
  <dcterms:created xsi:type="dcterms:W3CDTF">2026-03-02T02:51:00Z</dcterms:created>
  <dcterms:modified xsi:type="dcterms:W3CDTF">2026-03-07T21:48:19Z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DDA4A2361073EF5A6EEEA2694EC382F0_43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