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400"/>
  </bookViews>
  <sheets>
    <sheet name="Sheet1" sheetId="1" r:id="rId1"/>
  </sheets>
  <definedNames>
    <definedName name="_xlnm._FilterDatabase" localSheetId="0" hidden="1">Sheet1!$A$1:$P$37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<sst xmlns="http://schemas.openxmlformats.org/spreadsheetml/2006/main" count="196" uniqueCount="98">
  <si>
    <t>品类</t>
  </si>
  <si>
    <t>代码</t>
  </si>
  <si>
    <t>品种</t>
  </si>
  <si>
    <t>资金总额</t>
  </si>
  <si>
    <t>亏损比例</t>
  </si>
  <si>
    <t>亏损额度</t>
  </si>
  <si>
    <t>1手n吨</t>
  </si>
  <si>
    <t>平均atr</t>
  </si>
  <si>
    <t>1手亏1个atr</t>
  </si>
  <si>
    <t>最佳手数</t>
  </si>
  <si>
    <t>1手保证金</t>
  </si>
  <si>
    <t>n手（取整）</t>
  </si>
  <si>
    <t>n手保证金</t>
  </si>
  <si>
    <t>保证金比例</t>
  </si>
  <si>
    <t>交易所</t>
  </si>
  <si>
    <t>交易所代码</t>
  </si>
  <si>
    <t>黑色金属</t>
  </si>
  <si>
    <t>rb</t>
  </si>
  <si>
    <t>螺纹钢</t>
  </si>
  <si>
    <t>上海期货交易所</t>
  </si>
  <si>
    <t>SF</t>
  </si>
  <si>
    <t>hc</t>
  </si>
  <si>
    <t>热卷</t>
  </si>
  <si>
    <t>硅铁</t>
  </si>
  <si>
    <t>郑州商品交易所</t>
  </si>
  <si>
    <t>ZF</t>
  </si>
  <si>
    <t>SM</t>
  </si>
  <si>
    <t>锰硅</t>
  </si>
  <si>
    <t>ss</t>
  </si>
  <si>
    <t>不锈钢</t>
  </si>
  <si>
    <t>有色金属</t>
  </si>
  <si>
    <t>ao</t>
  </si>
  <si>
    <t>氧化铝</t>
  </si>
  <si>
    <t>pb</t>
  </si>
  <si>
    <t>沪铅</t>
  </si>
  <si>
    <t>zn</t>
  </si>
  <si>
    <t>沪锌</t>
  </si>
  <si>
    <t>al</t>
  </si>
  <si>
    <t>沪铝</t>
  </si>
  <si>
    <t>ni</t>
  </si>
  <si>
    <t>沪镍</t>
  </si>
  <si>
    <t>农产品</t>
  </si>
  <si>
    <t>c</t>
  </si>
  <si>
    <t>玉米</t>
  </si>
  <si>
    <t>大连商品交易所</t>
  </si>
  <si>
    <t>DF</t>
  </si>
  <si>
    <t>cs</t>
  </si>
  <si>
    <t>淀粉</t>
  </si>
  <si>
    <t>SR</t>
  </si>
  <si>
    <t>白糖</t>
  </si>
  <si>
    <t>CF</t>
  </si>
  <si>
    <t>棉花</t>
  </si>
  <si>
    <t>CY</t>
  </si>
  <si>
    <t>棉纱</t>
  </si>
  <si>
    <t>CJ</t>
  </si>
  <si>
    <t>红枣</t>
  </si>
  <si>
    <t>AP</t>
  </si>
  <si>
    <t>苹果</t>
  </si>
  <si>
    <t>lh</t>
  </si>
  <si>
    <t>生猪</t>
  </si>
  <si>
    <t>能源化工</t>
  </si>
  <si>
    <t>v</t>
  </si>
  <si>
    <t>PVC</t>
  </si>
  <si>
    <t>MA</t>
  </si>
  <si>
    <t>甲醇</t>
  </si>
  <si>
    <t>pp</t>
  </si>
  <si>
    <t>聚丙烯</t>
  </si>
  <si>
    <t>l</t>
  </si>
  <si>
    <t>塑料</t>
  </si>
  <si>
    <t>FG</t>
  </si>
  <si>
    <t>玻璃</t>
  </si>
  <si>
    <t>SA</t>
  </si>
  <si>
    <t>纯碱</t>
  </si>
  <si>
    <t>UR</t>
  </si>
  <si>
    <t>尿素</t>
  </si>
  <si>
    <t>eb</t>
  </si>
  <si>
    <t>苯乙烯</t>
  </si>
  <si>
    <t>PX</t>
  </si>
  <si>
    <t>对二甲苯</t>
  </si>
  <si>
    <t>fu</t>
  </si>
  <si>
    <t>燃油</t>
  </si>
  <si>
    <t>sp</t>
  </si>
  <si>
    <t>纸浆</t>
  </si>
  <si>
    <t>eg</t>
  </si>
  <si>
    <t>乙二醇</t>
  </si>
  <si>
    <t>bu</t>
  </si>
  <si>
    <t>沥青</t>
  </si>
  <si>
    <t>pg</t>
  </si>
  <si>
    <t>LPG</t>
  </si>
  <si>
    <t>br</t>
  </si>
  <si>
    <t>丁二烯胶</t>
  </si>
  <si>
    <t>SH</t>
  </si>
  <si>
    <t>烧碱</t>
  </si>
  <si>
    <t>ru</t>
  </si>
  <si>
    <t>橡胶</t>
  </si>
  <si>
    <t>煤炭</t>
  </si>
  <si>
    <t>jm</t>
  </si>
  <si>
    <t>焦煤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</si>
</sst>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1" xfId="3" applyBorder="1" applyAlignment="1">
      <alignment horizontal="left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selection activeCell="Q3" sqref="Q3"/>
    </sheetView>
  </sheetViews>
  <sheetFormatPr defaultColWidth="9.23076923076923" defaultRowHeight="16.8"/>
  <cols>
    <col min="15" max="15" width="17.6153846153846" customWidth="1"/>
    <col min="16" max="16" width="15.8653846153846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</row>
    <row r="2" spans="1:16">
      <c r="A2" s="1" t="s">
        <v>16</v>
      </c>
      <c r="B2" s="1" t="s">
        <v>17</v>
      </c>
      <c r="C2" s="1" t="s">
        <v>18</v>
      </c>
      <c r="D2" s="2">
        <v>200000</v>
      </c>
      <c r="E2" s="5">
        <v>0.05</v>
      </c>
      <c r="F2" s="2">
        <f t="shared" ref="F2:F37" si="0">D2*E2</f>
        <v>10000</v>
      </c>
      <c r="G2" s="2">
        <v>10</v>
      </c>
      <c r="H2" s="3">
        <v>50</v>
      </c>
      <c r="I2" s="3">
        <f t="shared" ref="I2:I37" si="1">G2*H2</f>
        <v>500</v>
      </c>
      <c r="J2" s="3">
        <f t="shared" ref="J2:J37" si="2">F2/I2</f>
        <v>20</v>
      </c>
      <c r="K2" s="3">
        <v>4277</v>
      </c>
      <c r="L2" s="3">
        <v>10</v>
      </c>
      <c r="M2" s="3">
        <f t="shared" ref="M2:M37" si="3">L2*K2</f>
        <v>42770</v>
      </c>
      <c r="N2" s="6">
        <f t="shared" ref="N2:N37" si="4">M2/D2</f>
        <v>0.21385</v>
      </c>
      <c r="O2" s="7" t="s">
        <v>19</v>
      </c>
      <c r="P2" s="4" t="s">
        <v>20</v>
      </c>
    </row>
    <row r="3" spans="1:16">
      <c r="A3" s="1" t="s">
        <v>16</v>
      </c>
      <c r="B3" s="1" t="s">
        <v>21</v>
      </c>
      <c r="C3" s="1" t="s">
        <v>22</v>
      </c>
      <c r="D3" s="2">
        <v>200000</v>
      </c>
      <c r="E3" s="5">
        <v>0.05</v>
      </c>
      <c r="F3" s="2">
        <f t="shared" si="0"/>
        <v>10000</v>
      </c>
      <c r="G3" s="2">
        <v>10</v>
      </c>
      <c r="H3" s="3">
        <v>50</v>
      </c>
      <c r="I3" s="3">
        <f t="shared" si="1"/>
        <v>500</v>
      </c>
      <c r="J3" s="3">
        <f t="shared" si="2"/>
        <v>20</v>
      </c>
      <c r="K3" s="3">
        <v>4166</v>
      </c>
      <c r="L3" s="3">
        <v>10</v>
      </c>
      <c r="M3" s="3">
        <f t="shared" si="3"/>
        <v>41660</v>
      </c>
      <c r="N3" s="6">
        <f t="shared" si="4"/>
        <v>0.2083</v>
      </c>
      <c r="O3" s="7" t="s">
        <v>19</v>
      </c>
      <c r="P3" s="4" t="s">
        <v>20</v>
      </c>
    </row>
    <row r="4" spans="1:16">
      <c r="A4" s="1" t="s">
        <v>16</v>
      </c>
      <c r="B4" s="1" t="s">
        <v>20</v>
      </c>
      <c r="C4" s="1" t="s">
        <v>23</v>
      </c>
      <c r="D4" s="2">
        <v>200000</v>
      </c>
      <c r="E4" s="5">
        <v>0.05</v>
      </c>
      <c r="F4" s="2">
        <f t="shared" si="0"/>
        <v>10000</v>
      </c>
      <c r="G4" s="2">
        <v>5</v>
      </c>
      <c r="H4" s="3">
        <v>100</v>
      </c>
      <c r="I4" s="3">
        <f t="shared" si="1"/>
        <v>500</v>
      </c>
      <c r="J4" s="3">
        <f t="shared" si="2"/>
        <v>20</v>
      </c>
      <c r="K4" s="3">
        <v>3705</v>
      </c>
      <c r="L4" s="3">
        <v>10</v>
      </c>
      <c r="M4" s="3">
        <f t="shared" si="3"/>
        <v>37050</v>
      </c>
      <c r="N4" s="6">
        <f t="shared" si="4"/>
        <v>0.18525</v>
      </c>
      <c r="O4" s="7" t="s">
        <v>24</v>
      </c>
      <c r="P4" s="4" t="s">
        <v>25</v>
      </c>
    </row>
    <row r="5" spans="1:16">
      <c r="A5" s="1" t="s">
        <v>16</v>
      </c>
      <c r="B5" s="1" t="s">
        <v>26</v>
      </c>
      <c r="C5" s="1" t="s">
        <v>27</v>
      </c>
      <c r="D5" s="2">
        <v>200000</v>
      </c>
      <c r="E5" s="5">
        <v>0.05</v>
      </c>
      <c r="F5" s="2">
        <f t="shared" si="0"/>
        <v>10000</v>
      </c>
      <c r="G5" s="2">
        <v>5</v>
      </c>
      <c r="H5" s="3">
        <v>100</v>
      </c>
      <c r="I5" s="3">
        <f t="shared" si="1"/>
        <v>500</v>
      </c>
      <c r="J5" s="3">
        <f t="shared" si="2"/>
        <v>20</v>
      </c>
      <c r="K5" s="3">
        <v>3909</v>
      </c>
      <c r="L5" s="3">
        <v>10</v>
      </c>
      <c r="M5" s="3">
        <f t="shared" si="3"/>
        <v>39090</v>
      </c>
      <c r="N5" s="6">
        <f t="shared" si="4"/>
        <v>0.19545</v>
      </c>
      <c r="O5" s="7" t="s">
        <v>24</v>
      </c>
      <c r="P5" s="4" t="s">
        <v>25</v>
      </c>
    </row>
    <row r="6" spans="1:16">
      <c r="A6" s="1" t="s">
        <v>16</v>
      </c>
      <c r="B6" s="1" t="s">
        <v>28</v>
      </c>
      <c r="C6" s="1" t="s">
        <v>29</v>
      </c>
      <c r="D6" s="2">
        <v>200000</v>
      </c>
      <c r="E6" s="5">
        <v>0.05</v>
      </c>
      <c r="F6" s="2">
        <f t="shared" si="0"/>
        <v>10000</v>
      </c>
      <c r="G6" s="2">
        <v>5</v>
      </c>
      <c r="H6" s="3">
        <v>250</v>
      </c>
      <c r="I6" s="3">
        <f t="shared" si="1"/>
        <v>1250</v>
      </c>
      <c r="J6" s="3">
        <f t="shared" si="2"/>
        <v>8</v>
      </c>
      <c r="K6" s="3">
        <v>9919</v>
      </c>
      <c r="L6" s="3">
        <v>4</v>
      </c>
      <c r="M6" s="3">
        <f t="shared" si="3"/>
        <v>39676</v>
      </c>
      <c r="N6" s="6">
        <f t="shared" si="4"/>
        <v>0.19838</v>
      </c>
      <c r="O6" s="7" t="s">
        <v>19</v>
      </c>
      <c r="P6" s="4" t="s">
        <v>20</v>
      </c>
    </row>
    <row r="7" spans="1:16">
      <c r="A7" s="1" t="s">
        <v>30</v>
      </c>
      <c r="B7" s="1" t="s">
        <v>31</v>
      </c>
      <c r="C7" s="1" t="s">
        <v>32</v>
      </c>
      <c r="D7" s="2">
        <v>200000</v>
      </c>
      <c r="E7" s="5">
        <v>0.05</v>
      </c>
      <c r="F7" s="2">
        <f t="shared" si="0"/>
        <v>10000</v>
      </c>
      <c r="G7" s="2">
        <v>20</v>
      </c>
      <c r="H7" s="3">
        <v>80</v>
      </c>
      <c r="I7" s="3">
        <f t="shared" si="1"/>
        <v>1600</v>
      </c>
      <c r="J7" s="3">
        <f t="shared" si="2"/>
        <v>6.25</v>
      </c>
      <c r="K7" s="3">
        <v>9312</v>
      </c>
      <c r="L7" s="3">
        <v>5</v>
      </c>
      <c r="M7" s="3">
        <f t="shared" si="3"/>
        <v>46560</v>
      </c>
      <c r="N7" s="6">
        <f t="shared" si="4"/>
        <v>0.2328</v>
      </c>
      <c r="O7" s="7" t="s">
        <v>19</v>
      </c>
      <c r="P7" s="4" t="s">
        <v>20</v>
      </c>
    </row>
    <row r="8" spans="1:16">
      <c r="A8" s="1" t="s">
        <v>30</v>
      </c>
      <c r="B8" s="1" t="s">
        <v>33</v>
      </c>
      <c r="C8" s="1" t="s">
        <v>34</v>
      </c>
      <c r="D8" s="2">
        <v>200000</v>
      </c>
      <c r="E8" s="5">
        <v>0.05</v>
      </c>
      <c r="F8" s="2">
        <f t="shared" si="0"/>
        <v>10000</v>
      </c>
      <c r="G8" s="2">
        <v>5</v>
      </c>
      <c r="H8" s="3">
        <v>220</v>
      </c>
      <c r="I8" s="3">
        <f t="shared" si="1"/>
        <v>1100</v>
      </c>
      <c r="J8" s="3">
        <f t="shared" si="2"/>
        <v>9.09090909090909</v>
      </c>
      <c r="K8" s="3">
        <v>13460</v>
      </c>
      <c r="L8" s="3">
        <v>3</v>
      </c>
      <c r="M8" s="3">
        <f t="shared" si="3"/>
        <v>40380</v>
      </c>
      <c r="N8" s="6">
        <f t="shared" si="4"/>
        <v>0.2019</v>
      </c>
      <c r="O8" s="7" t="s">
        <v>19</v>
      </c>
      <c r="P8" s="4" t="s">
        <v>20</v>
      </c>
    </row>
    <row r="9" spans="1:16">
      <c r="A9" s="1" t="s">
        <v>30</v>
      </c>
      <c r="B9" s="1" t="s">
        <v>35</v>
      </c>
      <c r="C9" s="1" t="s">
        <v>36</v>
      </c>
      <c r="D9" s="2">
        <v>200000</v>
      </c>
      <c r="E9" s="5">
        <v>0.05</v>
      </c>
      <c r="F9" s="2">
        <f t="shared" si="0"/>
        <v>10000</v>
      </c>
      <c r="G9" s="2">
        <v>5</v>
      </c>
      <c r="H9" s="3">
        <v>450</v>
      </c>
      <c r="I9" s="3">
        <f t="shared" si="1"/>
        <v>2250</v>
      </c>
      <c r="J9" s="3">
        <f t="shared" si="2"/>
        <v>4.44444444444444</v>
      </c>
      <c r="K9" s="3">
        <v>19712</v>
      </c>
      <c r="L9" s="3">
        <v>2</v>
      </c>
      <c r="M9" s="3">
        <f t="shared" si="3"/>
        <v>39424</v>
      </c>
      <c r="N9" s="6">
        <f t="shared" si="4"/>
        <v>0.19712</v>
      </c>
      <c r="O9" s="7" t="s">
        <v>19</v>
      </c>
      <c r="P9" s="4" t="s">
        <v>20</v>
      </c>
    </row>
    <row r="10" spans="1:16">
      <c r="A10" s="1" t="s">
        <v>30</v>
      </c>
      <c r="B10" s="1" t="s">
        <v>37</v>
      </c>
      <c r="C10" s="1" t="s">
        <v>38</v>
      </c>
      <c r="D10" s="2">
        <v>200000</v>
      </c>
      <c r="E10" s="5">
        <v>0.05</v>
      </c>
      <c r="F10" s="2">
        <f t="shared" si="0"/>
        <v>10000</v>
      </c>
      <c r="G10" s="2">
        <v>5</v>
      </c>
      <c r="H10" s="3">
        <v>550</v>
      </c>
      <c r="I10" s="3">
        <f t="shared" si="1"/>
        <v>2750</v>
      </c>
      <c r="J10" s="3">
        <f t="shared" si="2"/>
        <v>3.63636363636364</v>
      </c>
      <c r="K10" s="3">
        <v>21402</v>
      </c>
      <c r="L10" s="3">
        <v>2</v>
      </c>
      <c r="M10" s="3">
        <f t="shared" si="3"/>
        <v>42804</v>
      </c>
      <c r="N10" s="6">
        <f t="shared" si="4"/>
        <v>0.21402</v>
      </c>
      <c r="O10" s="7" t="s">
        <v>19</v>
      </c>
      <c r="P10" s="4" t="s">
        <v>20</v>
      </c>
    </row>
    <row r="11" spans="1:16">
      <c r="A11" s="1" t="s">
        <v>30</v>
      </c>
      <c r="B11" s="1" t="s">
        <v>39</v>
      </c>
      <c r="C11" s="1" t="s">
        <v>40</v>
      </c>
      <c r="D11" s="2">
        <v>200000</v>
      </c>
      <c r="E11" s="5">
        <v>0.05</v>
      </c>
      <c r="F11" s="2">
        <f t="shared" si="0"/>
        <v>10000</v>
      </c>
      <c r="G11" s="2">
        <v>1</v>
      </c>
      <c r="H11" s="3">
        <v>5500</v>
      </c>
      <c r="I11" s="3">
        <f t="shared" si="1"/>
        <v>5500</v>
      </c>
      <c r="J11" s="3">
        <f t="shared" si="2"/>
        <v>1.81818181818182</v>
      </c>
      <c r="K11" s="3">
        <v>26740</v>
      </c>
      <c r="L11" s="3">
        <v>2</v>
      </c>
      <c r="M11" s="3">
        <f t="shared" si="3"/>
        <v>53480</v>
      </c>
      <c r="N11" s="6">
        <f t="shared" si="4"/>
        <v>0.2674</v>
      </c>
      <c r="O11" s="7" t="s">
        <v>19</v>
      </c>
      <c r="P11" s="4" t="s">
        <v>20</v>
      </c>
    </row>
    <row r="12" spans="1:16">
      <c r="A12" s="1" t="s">
        <v>41</v>
      </c>
      <c r="B12" s="1" t="s">
        <v>42</v>
      </c>
      <c r="C12" s="1" t="s">
        <v>43</v>
      </c>
      <c r="D12" s="2">
        <v>200000</v>
      </c>
      <c r="E12" s="5">
        <v>0.05</v>
      </c>
      <c r="F12" s="2">
        <f t="shared" si="0"/>
        <v>10000</v>
      </c>
      <c r="G12" s="2">
        <v>10</v>
      </c>
      <c r="H12" s="3">
        <v>20</v>
      </c>
      <c r="I12" s="3">
        <f t="shared" si="1"/>
        <v>200</v>
      </c>
      <c r="J12" s="3">
        <f t="shared" si="2"/>
        <v>50</v>
      </c>
      <c r="K12" s="3">
        <v>2589</v>
      </c>
      <c r="L12" s="3">
        <v>15</v>
      </c>
      <c r="M12" s="3">
        <f t="shared" si="3"/>
        <v>38835</v>
      </c>
      <c r="N12" s="6">
        <f t="shared" si="4"/>
        <v>0.194175</v>
      </c>
      <c r="O12" s="7" t="s">
        <v>44</v>
      </c>
      <c r="P12" s="4" t="s">
        <v>45</v>
      </c>
    </row>
    <row r="13" spans="1:16">
      <c r="A13" s="1" t="s">
        <v>41</v>
      </c>
      <c r="B13" s="1" t="s">
        <v>46</v>
      </c>
      <c r="C13" s="1" t="s">
        <v>47</v>
      </c>
      <c r="D13" s="2">
        <v>200000</v>
      </c>
      <c r="E13" s="5">
        <v>0.05</v>
      </c>
      <c r="F13" s="2">
        <f t="shared" si="0"/>
        <v>10000</v>
      </c>
      <c r="G13" s="2">
        <v>10</v>
      </c>
      <c r="H13" s="3">
        <v>25</v>
      </c>
      <c r="I13" s="3">
        <f t="shared" si="1"/>
        <v>250</v>
      </c>
      <c r="J13" s="3">
        <f t="shared" si="2"/>
        <v>40</v>
      </c>
      <c r="K13" s="3">
        <v>2666</v>
      </c>
      <c r="L13" s="3">
        <v>15</v>
      </c>
      <c r="M13" s="3">
        <f t="shared" si="3"/>
        <v>39990</v>
      </c>
      <c r="N13" s="6">
        <f t="shared" si="4"/>
        <v>0.19995</v>
      </c>
      <c r="O13" s="7" t="s">
        <v>44</v>
      </c>
      <c r="P13" s="4" t="s">
        <v>45</v>
      </c>
    </row>
    <row r="14" spans="1:16">
      <c r="A14" s="1" t="s">
        <v>41</v>
      </c>
      <c r="B14" s="1" t="s">
        <v>48</v>
      </c>
      <c r="C14" s="1" t="s">
        <v>49</v>
      </c>
      <c r="D14" s="2">
        <v>200000</v>
      </c>
      <c r="E14" s="5">
        <v>0.05</v>
      </c>
      <c r="F14" s="2">
        <f t="shared" si="0"/>
        <v>10000</v>
      </c>
      <c r="G14" s="2">
        <v>10</v>
      </c>
      <c r="H14" s="3">
        <v>45</v>
      </c>
      <c r="I14" s="3">
        <f t="shared" si="1"/>
        <v>450</v>
      </c>
      <c r="J14" s="3">
        <f t="shared" si="2"/>
        <v>22.2222222222222</v>
      </c>
      <c r="K14" s="3">
        <v>5316</v>
      </c>
      <c r="L14" s="3">
        <v>8</v>
      </c>
      <c r="M14" s="3">
        <f t="shared" si="3"/>
        <v>42528</v>
      </c>
      <c r="N14" s="6">
        <f t="shared" si="4"/>
        <v>0.21264</v>
      </c>
      <c r="O14" s="7" t="s">
        <v>24</v>
      </c>
      <c r="P14" s="4" t="s">
        <v>25</v>
      </c>
    </row>
    <row r="15" spans="1:16">
      <c r="A15" s="1" t="s">
        <v>41</v>
      </c>
      <c r="B15" s="1" t="s">
        <v>50</v>
      </c>
      <c r="C15" s="1" t="s">
        <v>51</v>
      </c>
      <c r="D15" s="2">
        <v>200000</v>
      </c>
      <c r="E15" s="5">
        <v>0.05</v>
      </c>
      <c r="F15" s="2">
        <f t="shared" si="0"/>
        <v>10000</v>
      </c>
      <c r="G15" s="2">
        <v>5</v>
      </c>
      <c r="H15" s="3">
        <v>200</v>
      </c>
      <c r="I15" s="3">
        <f t="shared" si="1"/>
        <v>1000</v>
      </c>
      <c r="J15" s="3">
        <f t="shared" si="2"/>
        <v>10</v>
      </c>
      <c r="K15" s="3">
        <v>8459</v>
      </c>
      <c r="L15" s="3">
        <v>5</v>
      </c>
      <c r="M15" s="3">
        <f t="shared" si="3"/>
        <v>42295</v>
      </c>
      <c r="N15" s="6">
        <f t="shared" si="4"/>
        <v>0.211475</v>
      </c>
      <c r="O15" s="7" t="s">
        <v>24</v>
      </c>
      <c r="P15" s="4" t="s">
        <v>25</v>
      </c>
    </row>
    <row r="16" spans="1:16">
      <c r="A16" s="1" t="s">
        <v>41</v>
      </c>
      <c r="B16" s="1" t="s">
        <v>52</v>
      </c>
      <c r="C16" s="1" t="s">
        <v>53</v>
      </c>
      <c r="D16" s="2">
        <v>200000</v>
      </c>
      <c r="E16" s="5">
        <v>0.05</v>
      </c>
      <c r="F16" s="2">
        <f t="shared" si="0"/>
        <v>10000</v>
      </c>
      <c r="G16" s="2">
        <v>5</v>
      </c>
      <c r="H16" s="3">
        <v>220</v>
      </c>
      <c r="I16" s="3">
        <f t="shared" si="1"/>
        <v>1100</v>
      </c>
      <c r="J16" s="3">
        <f t="shared" si="2"/>
        <v>9.09090909090909</v>
      </c>
      <c r="K16" s="3">
        <v>24420</v>
      </c>
      <c r="L16" s="3">
        <v>2</v>
      </c>
      <c r="M16" s="3">
        <f t="shared" si="3"/>
        <v>48840</v>
      </c>
      <c r="N16" s="6">
        <f t="shared" si="4"/>
        <v>0.2442</v>
      </c>
      <c r="O16" s="7" t="s">
        <v>24</v>
      </c>
      <c r="P16" s="4" t="s">
        <v>25</v>
      </c>
    </row>
    <row r="17" spans="1:16">
      <c r="A17" s="1" t="s">
        <v>41</v>
      </c>
      <c r="B17" s="1" t="s">
        <v>54</v>
      </c>
      <c r="C17" s="1" t="s">
        <v>55</v>
      </c>
      <c r="D17" s="2">
        <v>200000</v>
      </c>
      <c r="E17" s="5">
        <v>0.05</v>
      </c>
      <c r="F17" s="2">
        <f t="shared" si="0"/>
        <v>10000</v>
      </c>
      <c r="G17" s="2">
        <v>5</v>
      </c>
      <c r="H17" s="3">
        <v>220</v>
      </c>
      <c r="I17" s="3">
        <f t="shared" si="1"/>
        <v>1100</v>
      </c>
      <c r="J17" s="3">
        <f t="shared" si="2"/>
        <v>9.09090909090909</v>
      </c>
      <c r="K17" s="3">
        <v>5710</v>
      </c>
      <c r="L17" s="3">
        <v>8</v>
      </c>
      <c r="M17" s="3">
        <f t="shared" si="3"/>
        <v>45680</v>
      </c>
      <c r="N17" s="6">
        <f t="shared" si="4"/>
        <v>0.2284</v>
      </c>
      <c r="O17" s="7" t="s">
        <v>24</v>
      </c>
      <c r="P17" s="4" t="s">
        <v>25</v>
      </c>
    </row>
    <row r="18" spans="1:16">
      <c r="A18" s="1" t="s">
        <v>41</v>
      </c>
      <c r="B18" s="1" t="s">
        <v>56</v>
      </c>
      <c r="C18" s="1" t="s">
        <v>57</v>
      </c>
      <c r="D18" s="2">
        <v>200000</v>
      </c>
      <c r="E18" s="5">
        <v>0.05</v>
      </c>
      <c r="F18" s="2">
        <f t="shared" si="0"/>
        <v>10000</v>
      </c>
      <c r="G18" s="2">
        <v>10</v>
      </c>
      <c r="H18" s="3">
        <v>150</v>
      </c>
      <c r="I18" s="3">
        <f t="shared" si="1"/>
        <v>1500</v>
      </c>
      <c r="J18" s="3">
        <f t="shared" si="2"/>
        <v>6.66666666666667</v>
      </c>
      <c r="K18" s="3">
        <v>18487</v>
      </c>
      <c r="L18" s="3">
        <v>2</v>
      </c>
      <c r="M18" s="3">
        <f t="shared" si="3"/>
        <v>36974</v>
      </c>
      <c r="N18" s="6">
        <f t="shared" si="4"/>
        <v>0.18487</v>
      </c>
      <c r="O18" s="7" t="s">
        <v>24</v>
      </c>
      <c r="P18" s="4" t="s">
        <v>25</v>
      </c>
    </row>
    <row r="19" spans="1:16">
      <c r="A19" s="1" t="s">
        <v>41</v>
      </c>
      <c r="B19" s="1" t="s">
        <v>58</v>
      </c>
      <c r="C19" s="1" t="s">
        <v>59</v>
      </c>
      <c r="D19" s="2">
        <v>200000</v>
      </c>
      <c r="E19" s="5">
        <v>0.05</v>
      </c>
      <c r="F19" s="2">
        <f t="shared" si="0"/>
        <v>10000</v>
      </c>
      <c r="G19" s="2">
        <v>5</v>
      </c>
      <c r="H19" s="3">
        <v>220</v>
      </c>
      <c r="I19" s="3">
        <f t="shared" si="1"/>
        <v>1100</v>
      </c>
      <c r="J19" s="3">
        <f t="shared" si="2"/>
        <v>9.09090909090909</v>
      </c>
      <c r="K19" s="3">
        <v>22003</v>
      </c>
      <c r="L19" s="3">
        <v>2</v>
      </c>
      <c r="M19" s="3">
        <f t="shared" si="3"/>
        <v>44006</v>
      </c>
      <c r="N19" s="6">
        <f t="shared" si="4"/>
        <v>0.22003</v>
      </c>
      <c r="O19" s="7" t="s">
        <v>44</v>
      </c>
      <c r="P19" s="4" t="s">
        <v>45</v>
      </c>
    </row>
    <row r="20" spans="1:16">
      <c r="A20" s="1" t="s">
        <v>60</v>
      </c>
      <c r="B20" s="1" t="s">
        <v>61</v>
      </c>
      <c r="C20" s="1" t="s">
        <v>62</v>
      </c>
      <c r="D20" s="2">
        <v>200000</v>
      </c>
      <c r="E20" s="5">
        <v>0.05</v>
      </c>
      <c r="F20" s="2">
        <f t="shared" si="0"/>
        <v>10000</v>
      </c>
      <c r="G20" s="2">
        <v>5</v>
      </c>
      <c r="H20" s="3">
        <v>100</v>
      </c>
      <c r="I20" s="3">
        <f t="shared" si="1"/>
        <v>500</v>
      </c>
      <c r="J20" s="3">
        <f t="shared" si="2"/>
        <v>20</v>
      </c>
      <c r="K20" s="3">
        <v>2866</v>
      </c>
      <c r="L20" s="3">
        <v>15</v>
      </c>
      <c r="M20" s="3">
        <f t="shared" si="3"/>
        <v>42990</v>
      </c>
      <c r="N20" s="6">
        <f t="shared" si="4"/>
        <v>0.21495</v>
      </c>
      <c r="O20" s="7" t="s">
        <v>44</v>
      </c>
      <c r="P20" s="4" t="s">
        <v>45</v>
      </c>
    </row>
    <row r="21" spans="1:16">
      <c r="A21" s="1" t="s">
        <v>60</v>
      </c>
      <c r="B21" s="1" t="s">
        <v>63</v>
      </c>
      <c r="C21" s="1" t="s">
        <v>64</v>
      </c>
      <c r="D21" s="2">
        <v>200000</v>
      </c>
      <c r="E21" s="5">
        <v>0.05</v>
      </c>
      <c r="F21" s="2">
        <f t="shared" si="0"/>
        <v>10000</v>
      </c>
      <c r="G21" s="2">
        <v>10</v>
      </c>
      <c r="H21" s="3">
        <v>40</v>
      </c>
      <c r="I21" s="3">
        <f t="shared" si="1"/>
        <v>400</v>
      </c>
      <c r="J21" s="3">
        <f t="shared" si="2"/>
        <v>25</v>
      </c>
      <c r="K21" s="3">
        <v>3050</v>
      </c>
      <c r="L21" s="3">
        <v>12</v>
      </c>
      <c r="M21" s="3">
        <f t="shared" si="3"/>
        <v>36600</v>
      </c>
      <c r="N21" s="6">
        <f t="shared" si="4"/>
        <v>0.183</v>
      </c>
      <c r="O21" s="7" t="s">
        <v>24</v>
      </c>
      <c r="P21" s="4" t="s">
        <v>25</v>
      </c>
    </row>
    <row r="22" spans="1:16">
      <c r="A22" s="1" t="s">
        <v>60</v>
      </c>
      <c r="B22" s="1" t="s">
        <v>65</v>
      </c>
      <c r="C22" s="1" t="s">
        <v>66</v>
      </c>
      <c r="D22" s="2">
        <v>200000</v>
      </c>
      <c r="E22" s="5">
        <v>0.05</v>
      </c>
      <c r="F22" s="2">
        <f t="shared" si="0"/>
        <v>10000</v>
      </c>
      <c r="G22" s="2">
        <v>5</v>
      </c>
      <c r="H22" s="3">
        <v>85</v>
      </c>
      <c r="I22" s="3">
        <f t="shared" si="1"/>
        <v>425</v>
      </c>
      <c r="J22" s="3">
        <f t="shared" si="2"/>
        <v>23.5294117647059</v>
      </c>
      <c r="K22" s="3">
        <v>3954</v>
      </c>
      <c r="L22" s="3">
        <v>10</v>
      </c>
      <c r="M22" s="3">
        <f t="shared" si="3"/>
        <v>39540</v>
      </c>
      <c r="N22" s="6">
        <f t="shared" si="4"/>
        <v>0.1977</v>
      </c>
      <c r="O22" s="7" t="s">
        <v>44</v>
      </c>
      <c r="P22" s="4" t="s">
        <v>45</v>
      </c>
    </row>
    <row r="23" spans="1:16">
      <c r="A23" s="1" t="s">
        <v>60</v>
      </c>
      <c r="B23" s="1" t="s">
        <v>67</v>
      </c>
      <c r="C23" s="1" t="s">
        <v>68</v>
      </c>
      <c r="D23" s="2">
        <v>200000</v>
      </c>
      <c r="E23" s="5">
        <v>0.05</v>
      </c>
      <c r="F23" s="2">
        <f t="shared" si="0"/>
        <v>10000</v>
      </c>
      <c r="G23" s="2">
        <v>5</v>
      </c>
      <c r="H23" s="3">
        <v>95</v>
      </c>
      <c r="I23" s="3">
        <f t="shared" si="1"/>
        <v>475</v>
      </c>
      <c r="J23" s="3">
        <f t="shared" si="2"/>
        <v>21.0526315789474</v>
      </c>
      <c r="K23" s="3">
        <v>3951</v>
      </c>
      <c r="L23" s="3">
        <v>10</v>
      </c>
      <c r="M23" s="3">
        <f t="shared" si="3"/>
        <v>39510</v>
      </c>
      <c r="N23" s="6">
        <f t="shared" si="4"/>
        <v>0.19755</v>
      </c>
      <c r="O23" s="7" t="s">
        <v>44</v>
      </c>
      <c r="P23" s="4" t="s">
        <v>45</v>
      </c>
    </row>
    <row r="24" spans="1:16">
      <c r="A24" s="1" t="s">
        <v>60</v>
      </c>
      <c r="B24" s="1" t="s">
        <v>69</v>
      </c>
      <c r="C24" s="1" t="s">
        <v>70</v>
      </c>
      <c r="D24" s="2">
        <v>200000</v>
      </c>
      <c r="E24" s="5">
        <v>0.05</v>
      </c>
      <c r="F24" s="2">
        <f t="shared" si="0"/>
        <v>10000</v>
      </c>
      <c r="G24" s="2">
        <v>20</v>
      </c>
      <c r="H24" s="3">
        <v>35</v>
      </c>
      <c r="I24" s="3">
        <f t="shared" si="1"/>
        <v>700</v>
      </c>
      <c r="J24" s="3">
        <f t="shared" si="2"/>
        <v>14.2857142857143</v>
      </c>
      <c r="K24" s="3">
        <v>3162</v>
      </c>
      <c r="L24" s="3">
        <v>12</v>
      </c>
      <c r="M24" s="3">
        <f t="shared" si="3"/>
        <v>37944</v>
      </c>
      <c r="N24" s="6">
        <f t="shared" si="4"/>
        <v>0.18972</v>
      </c>
      <c r="O24" s="7" t="s">
        <v>24</v>
      </c>
      <c r="P24" s="4" t="s">
        <v>25</v>
      </c>
    </row>
    <row r="25" spans="1:16">
      <c r="A25" s="1" t="s">
        <v>60</v>
      </c>
      <c r="B25" s="1" t="s">
        <v>71</v>
      </c>
      <c r="C25" s="1" t="s">
        <v>72</v>
      </c>
      <c r="D25" s="2">
        <v>200000</v>
      </c>
      <c r="E25" s="5">
        <v>0.05</v>
      </c>
      <c r="F25" s="2">
        <f t="shared" si="0"/>
        <v>10000</v>
      </c>
      <c r="G25" s="2">
        <v>20</v>
      </c>
      <c r="H25" s="3">
        <v>30</v>
      </c>
      <c r="I25" s="3">
        <f t="shared" si="1"/>
        <v>600</v>
      </c>
      <c r="J25" s="3">
        <f t="shared" si="2"/>
        <v>16.6666666666667</v>
      </c>
      <c r="K25" s="3">
        <v>3561</v>
      </c>
      <c r="L25" s="3">
        <v>12</v>
      </c>
      <c r="M25" s="3">
        <f t="shared" si="3"/>
        <v>42732</v>
      </c>
      <c r="N25" s="6">
        <f t="shared" si="4"/>
        <v>0.21366</v>
      </c>
      <c r="O25" s="7" t="s">
        <v>24</v>
      </c>
      <c r="P25" s="4" t="s">
        <v>25</v>
      </c>
    </row>
    <row r="26" spans="1:16">
      <c r="A26" s="1" t="s">
        <v>60</v>
      </c>
      <c r="B26" s="1" t="s">
        <v>73</v>
      </c>
      <c r="C26" s="1" t="s">
        <v>74</v>
      </c>
      <c r="D26" s="2">
        <v>200000</v>
      </c>
      <c r="E26" s="5">
        <v>0.05</v>
      </c>
      <c r="F26" s="2">
        <f t="shared" si="0"/>
        <v>10000</v>
      </c>
      <c r="G26" s="2">
        <v>20</v>
      </c>
      <c r="H26" s="3">
        <v>25</v>
      </c>
      <c r="I26" s="3">
        <f t="shared" si="1"/>
        <v>500</v>
      </c>
      <c r="J26" s="3">
        <f t="shared" si="2"/>
        <v>20</v>
      </c>
      <c r="K26" s="3">
        <v>4789</v>
      </c>
      <c r="L26" s="3">
        <v>8</v>
      </c>
      <c r="M26" s="3">
        <f t="shared" si="3"/>
        <v>38312</v>
      </c>
      <c r="N26" s="6">
        <f t="shared" si="4"/>
        <v>0.19156</v>
      </c>
      <c r="O26" s="7" t="s">
        <v>24</v>
      </c>
      <c r="P26" s="4" t="s">
        <v>25</v>
      </c>
    </row>
    <row r="27" spans="1:16">
      <c r="A27" s="1" t="s">
        <v>60</v>
      </c>
      <c r="B27" s="1" t="s">
        <v>75</v>
      </c>
      <c r="C27" s="1" t="s">
        <v>76</v>
      </c>
      <c r="D27" s="2">
        <v>200000</v>
      </c>
      <c r="E27" s="5">
        <v>0.05</v>
      </c>
      <c r="F27" s="2">
        <f t="shared" si="0"/>
        <v>10000</v>
      </c>
      <c r="G27" s="2">
        <v>5</v>
      </c>
      <c r="H27" s="3">
        <v>160</v>
      </c>
      <c r="I27" s="3">
        <f t="shared" si="1"/>
        <v>800</v>
      </c>
      <c r="J27" s="3">
        <f t="shared" si="2"/>
        <v>12.5</v>
      </c>
      <c r="K27" s="3">
        <v>4495</v>
      </c>
      <c r="L27" s="3">
        <v>10</v>
      </c>
      <c r="M27" s="3">
        <f t="shared" si="3"/>
        <v>44950</v>
      </c>
      <c r="N27" s="6">
        <f t="shared" si="4"/>
        <v>0.22475</v>
      </c>
      <c r="O27" s="7" t="s">
        <v>44</v>
      </c>
      <c r="P27" s="4" t="s">
        <v>45</v>
      </c>
    </row>
    <row r="28" spans="1:16">
      <c r="A28" s="1" t="s">
        <v>60</v>
      </c>
      <c r="B28" s="1" t="s">
        <v>77</v>
      </c>
      <c r="C28" s="1" t="s">
        <v>78</v>
      </c>
      <c r="D28" s="2">
        <v>200000</v>
      </c>
      <c r="E28" s="5">
        <v>0.05</v>
      </c>
      <c r="F28" s="2">
        <f t="shared" si="0"/>
        <v>10000</v>
      </c>
      <c r="G28" s="2">
        <v>5</v>
      </c>
      <c r="H28" s="3">
        <v>160</v>
      </c>
      <c r="I28" s="3">
        <f t="shared" si="1"/>
        <v>800</v>
      </c>
      <c r="J28" s="3">
        <f t="shared" si="2"/>
        <v>12.5</v>
      </c>
      <c r="K28" s="3">
        <v>5166</v>
      </c>
      <c r="L28" s="3">
        <v>8</v>
      </c>
      <c r="M28" s="3">
        <f t="shared" si="3"/>
        <v>41328</v>
      </c>
      <c r="N28" s="6">
        <f t="shared" si="4"/>
        <v>0.20664</v>
      </c>
      <c r="O28" s="7" t="s">
        <v>24</v>
      </c>
      <c r="P28" s="4" t="s">
        <v>25</v>
      </c>
    </row>
    <row r="29" spans="1:16">
      <c r="A29" s="1" t="s">
        <v>60</v>
      </c>
      <c r="B29" s="1" t="s">
        <v>79</v>
      </c>
      <c r="C29" s="1" t="s">
        <v>80</v>
      </c>
      <c r="D29" s="2">
        <v>200000</v>
      </c>
      <c r="E29" s="5">
        <v>0.05</v>
      </c>
      <c r="F29" s="2">
        <f t="shared" si="0"/>
        <v>10000</v>
      </c>
      <c r="G29" s="2">
        <v>10</v>
      </c>
      <c r="H29" s="3">
        <v>80</v>
      </c>
      <c r="I29" s="3">
        <f t="shared" si="1"/>
        <v>800</v>
      </c>
      <c r="J29" s="3">
        <f t="shared" si="2"/>
        <v>12.5</v>
      </c>
      <c r="K29" s="3">
        <v>4731</v>
      </c>
      <c r="L29" s="3">
        <v>8</v>
      </c>
      <c r="M29" s="3">
        <f t="shared" si="3"/>
        <v>37848</v>
      </c>
      <c r="N29" s="6">
        <f t="shared" si="4"/>
        <v>0.18924</v>
      </c>
      <c r="O29" s="7" t="s">
        <v>19</v>
      </c>
      <c r="P29" s="4" t="s">
        <v>20</v>
      </c>
    </row>
    <row r="30" spans="1:16">
      <c r="A30" s="1" t="s">
        <v>60</v>
      </c>
      <c r="B30" s="1" t="s">
        <v>81</v>
      </c>
      <c r="C30" s="1" t="s">
        <v>82</v>
      </c>
      <c r="D30" s="2">
        <v>200000</v>
      </c>
      <c r="E30" s="5">
        <v>0.05</v>
      </c>
      <c r="F30" s="2">
        <f t="shared" si="0"/>
        <v>10000</v>
      </c>
      <c r="G30" s="2">
        <v>10</v>
      </c>
      <c r="H30" s="3">
        <v>90</v>
      </c>
      <c r="I30" s="3">
        <f t="shared" si="1"/>
        <v>900</v>
      </c>
      <c r="J30" s="3">
        <f t="shared" si="2"/>
        <v>11.1111111111111</v>
      </c>
      <c r="K30" s="3">
        <v>6830</v>
      </c>
      <c r="L30" s="3">
        <v>6</v>
      </c>
      <c r="M30" s="3">
        <f t="shared" si="3"/>
        <v>40980</v>
      </c>
      <c r="N30" s="6">
        <f t="shared" si="4"/>
        <v>0.2049</v>
      </c>
      <c r="O30" s="7" t="s">
        <v>19</v>
      </c>
      <c r="P30" s="4" t="s">
        <v>20</v>
      </c>
    </row>
    <row r="31" spans="1:16">
      <c r="A31" s="1" t="s">
        <v>60</v>
      </c>
      <c r="B31" s="1" t="s">
        <v>83</v>
      </c>
      <c r="C31" s="1" t="s">
        <v>84</v>
      </c>
      <c r="D31" s="2">
        <v>200000</v>
      </c>
      <c r="E31" s="5">
        <v>0.05</v>
      </c>
      <c r="F31" s="2">
        <f t="shared" si="0"/>
        <v>10000</v>
      </c>
      <c r="G31" s="2">
        <v>10</v>
      </c>
      <c r="H31" s="3">
        <v>75</v>
      </c>
      <c r="I31" s="3">
        <f t="shared" si="1"/>
        <v>750</v>
      </c>
      <c r="J31" s="3">
        <f t="shared" si="2"/>
        <v>13.3333333333333</v>
      </c>
      <c r="K31" s="3">
        <v>4450</v>
      </c>
      <c r="L31" s="3">
        <v>10</v>
      </c>
      <c r="M31" s="3">
        <f t="shared" si="3"/>
        <v>44500</v>
      </c>
      <c r="N31" s="6">
        <f t="shared" si="4"/>
        <v>0.2225</v>
      </c>
      <c r="O31" s="7" t="s">
        <v>44</v>
      </c>
      <c r="P31" s="4" t="s">
        <v>45</v>
      </c>
    </row>
    <row r="32" spans="1:16">
      <c r="A32" s="1" t="s">
        <v>60</v>
      </c>
      <c r="B32" s="1" t="s">
        <v>85</v>
      </c>
      <c r="C32" s="1" t="s">
        <v>86</v>
      </c>
      <c r="D32" s="2">
        <v>200000</v>
      </c>
      <c r="E32" s="5">
        <v>0.05</v>
      </c>
      <c r="F32" s="2">
        <f t="shared" si="0"/>
        <v>10000</v>
      </c>
      <c r="G32" s="2">
        <v>10</v>
      </c>
      <c r="H32" s="3">
        <v>65</v>
      </c>
      <c r="I32" s="3">
        <f t="shared" si="1"/>
        <v>650</v>
      </c>
      <c r="J32" s="3">
        <f t="shared" si="2"/>
        <v>15.3846153846154</v>
      </c>
      <c r="K32" s="3">
        <v>5358</v>
      </c>
      <c r="L32" s="3">
        <v>8</v>
      </c>
      <c r="M32" s="3">
        <f t="shared" si="3"/>
        <v>42864</v>
      </c>
      <c r="N32" s="6">
        <f t="shared" si="4"/>
        <v>0.21432</v>
      </c>
      <c r="O32" s="7" t="s">
        <v>19</v>
      </c>
      <c r="P32" s="4" t="s">
        <v>20</v>
      </c>
    </row>
    <row r="33" spans="1:16">
      <c r="A33" s="1" t="s">
        <v>60</v>
      </c>
      <c r="B33" s="1" t="s">
        <v>87</v>
      </c>
      <c r="C33" s="1" t="s">
        <v>88</v>
      </c>
      <c r="D33" s="2">
        <v>200000</v>
      </c>
      <c r="E33" s="5">
        <v>0.05</v>
      </c>
      <c r="F33" s="2">
        <f t="shared" si="0"/>
        <v>10000</v>
      </c>
      <c r="G33" s="2">
        <v>20</v>
      </c>
      <c r="H33" s="3">
        <v>95</v>
      </c>
      <c r="I33" s="3">
        <f t="shared" si="1"/>
        <v>1900</v>
      </c>
      <c r="J33" s="3">
        <f t="shared" si="2"/>
        <v>5.26315789473684</v>
      </c>
      <c r="K33" s="3">
        <v>10850</v>
      </c>
      <c r="L33" s="3">
        <v>4</v>
      </c>
      <c r="M33" s="3">
        <f t="shared" si="3"/>
        <v>43400</v>
      </c>
      <c r="N33" s="6">
        <f t="shared" si="4"/>
        <v>0.217</v>
      </c>
      <c r="O33" s="7" t="s">
        <v>44</v>
      </c>
      <c r="P33" s="4" t="s">
        <v>45</v>
      </c>
    </row>
    <row r="34" spans="1:16">
      <c r="A34" s="1" t="s">
        <v>60</v>
      </c>
      <c r="B34" s="1" t="s">
        <v>89</v>
      </c>
      <c r="C34" s="1" t="s">
        <v>90</v>
      </c>
      <c r="D34" s="2">
        <v>200000</v>
      </c>
      <c r="E34" s="5">
        <v>0.05</v>
      </c>
      <c r="F34" s="2">
        <f t="shared" si="0"/>
        <v>10000</v>
      </c>
      <c r="G34" s="2">
        <v>5</v>
      </c>
      <c r="H34" s="3">
        <v>400</v>
      </c>
      <c r="I34" s="3">
        <f t="shared" si="1"/>
        <v>2000</v>
      </c>
      <c r="J34" s="3">
        <f t="shared" si="2"/>
        <v>5</v>
      </c>
      <c r="K34" s="3">
        <v>10068</v>
      </c>
      <c r="L34" s="3">
        <v>4</v>
      </c>
      <c r="M34" s="3">
        <f t="shared" si="3"/>
        <v>40272</v>
      </c>
      <c r="N34" s="6">
        <f t="shared" si="4"/>
        <v>0.20136</v>
      </c>
      <c r="O34" s="7" t="s">
        <v>19</v>
      </c>
      <c r="P34" s="4" t="s">
        <v>20</v>
      </c>
    </row>
    <row r="35" spans="1:16">
      <c r="A35" s="1" t="s">
        <v>60</v>
      </c>
      <c r="B35" s="1" t="s">
        <v>91</v>
      </c>
      <c r="C35" s="1" t="s">
        <v>92</v>
      </c>
      <c r="D35" s="2">
        <v>200000</v>
      </c>
      <c r="E35" s="5">
        <v>0.05</v>
      </c>
      <c r="F35" s="2">
        <f t="shared" si="0"/>
        <v>10000</v>
      </c>
      <c r="G35" s="2">
        <v>30</v>
      </c>
      <c r="H35" s="3">
        <v>55</v>
      </c>
      <c r="I35" s="3">
        <f t="shared" si="1"/>
        <v>1650</v>
      </c>
      <c r="J35" s="3">
        <f t="shared" si="2"/>
        <v>6.06060606060606</v>
      </c>
      <c r="K35" s="3">
        <v>8891</v>
      </c>
      <c r="L35" s="3">
        <v>4</v>
      </c>
      <c r="M35" s="3">
        <f t="shared" si="3"/>
        <v>35564</v>
      </c>
      <c r="N35" s="6">
        <f t="shared" si="4"/>
        <v>0.17782</v>
      </c>
      <c r="O35" s="7" t="s">
        <v>24</v>
      </c>
      <c r="P35" s="4" t="s">
        <v>25</v>
      </c>
    </row>
    <row r="36" spans="1:16">
      <c r="A36" s="1" t="s">
        <v>60</v>
      </c>
      <c r="B36" s="1" t="s">
        <v>93</v>
      </c>
      <c r="C36" s="1" t="s">
        <v>94</v>
      </c>
      <c r="D36" s="2">
        <v>200000</v>
      </c>
      <c r="E36" s="5">
        <v>0.05</v>
      </c>
      <c r="F36" s="2">
        <f t="shared" si="0"/>
        <v>10000</v>
      </c>
      <c r="G36" s="2">
        <v>10</v>
      </c>
      <c r="H36" s="3">
        <v>300</v>
      </c>
      <c r="I36" s="3">
        <f t="shared" si="1"/>
        <v>3000</v>
      </c>
      <c r="J36" s="3">
        <f t="shared" si="2"/>
        <v>3.33333333333333</v>
      </c>
      <c r="K36" s="3">
        <v>27408</v>
      </c>
      <c r="L36" s="3">
        <v>2</v>
      </c>
      <c r="M36" s="3">
        <f t="shared" si="3"/>
        <v>54816</v>
      </c>
      <c r="N36" s="6">
        <f t="shared" si="4"/>
        <v>0.27408</v>
      </c>
      <c r="O36" s="7" t="s">
        <v>19</v>
      </c>
      <c r="P36" s="4" t="s">
        <v>20</v>
      </c>
    </row>
    <row r="37" spans="1:16">
      <c r="A37" s="1" t="s">
        <v>95</v>
      </c>
      <c r="B37" s="1" t="s">
        <v>96</v>
      </c>
      <c r="C37" s="1" t="s">
        <v>97</v>
      </c>
      <c r="D37" s="2">
        <v>200000</v>
      </c>
      <c r="E37" s="5">
        <v>0.05</v>
      </c>
      <c r="F37" s="2">
        <f t="shared" si="0"/>
        <v>10000</v>
      </c>
      <c r="G37" s="2">
        <v>60</v>
      </c>
      <c r="H37" s="3">
        <v>45</v>
      </c>
      <c r="I37" s="3">
        <f t="shared" si="1"/>
        <v>2700</v>
      </c>
      <c r="J37" s="3">
        <f t="shared" si="2"/>
        <v>3.7037037037037</v>
      </c>
      <c r="K37" s="3">
        <v>10430</v>
      </c>
      <c r="L37" s="3">
        <v>4</v>
      </c>
      <c r="M37" s="3">
        <f t="shared" si="3"/>
        <v>41720</v>
      </c>
      <c r="N37" s="6">
        <f t="shared" si="4"/>
        <v>0.2086</v>
      </c>
      <c r="O37" s="7" t="s">
        <v>44</v>
      </c>
      <c r="P37" s="4" t="s">
        <v>45</v>
      </c>
    </row>
  </sheetData>
  <autoFilter xmlns:etc="http://www.wps.cn/officeDocument/2017/etCustomData" ref="A1:P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shiyutian</dc:creator>
  <cp:lastModifiedBy>exiaozhong</cp:lastModifiedBy>
  <dcterms:created xsi:type="dcterms:W3CDTF">2026-03-01T02:51:00Z</dcterms:created>
  <dcterms:modified xsi:type="dcterms:W3CDTF">2026-02-28T21:40:58Z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DDA4A2361073EF5A6EEEA2694EC382F0_43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